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udge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<sst xmlns="http://schemas.openxmlformats.org/spreadsheetml/2006/main" count="56" uniqueCount="53">
  <si>
    <t xml:space="preserve">CSSI Elements Budget Assumptions</t>
  </si>
  <si>
    <t xml:space="preserve">EDIT the yellow cells only. All figures are PLACEHOLDERS — replace with real GT/Emory rates.</t>
  </si>
  <si>
    <t xml:space="preserve">Personnel</t>
  </si>
  <si>
    <t xml:space="preserve">PI (Kyanjo) 12-month base salary ($/yr)</t>
  </si>
  <si>
    <t xml:space="preserve">PLACEHOLDER — replace with actual GT rate</t>
  </si>
  <si>
    <t xml:space="preserve">PI effort committed to this award (%)</t>
  </si>
  <si>
    <t xml:space="preserve">Co-PI (Robel) 9-month academic-year salary ($/yr)</t>
  </si>
  <si>
    <t xml:space="preserve">Co-PI summer months committed per year</t>
  </si>
  <si>
    <t xml:space="preserve">Annual salary escalation rate</t>
  </si>
  <si>
    <t xml:space="preserve">Fringe benefit rate</t>
  </si>
  <si>
    <t xml:space="preserve">Confirm GT/Emory current negotiated rate</t>
  </si>
  <si>
    <t xml:space="preserve">Indirect Costs</t>
  </si>
  <si>
    <t xml:space="preserve">F&amp;A / indirect cost rate (on MTDC)</t>
  </si>
  <si>
    <t xml:space="preserve">Confirm GT's current federally negotiated rate</t>
  </si>
  <si>
    <t xml:space="preserve">Travel</t>
  </si>
  <si>
    <t xml:space="preserve">Required annual CSSI PI meeting (trips/yr)</t>
  </si>
  <si>
    <t xml:space="preserve">Cost per PI-meeting trip ($)</t>
  </si>
  <si>
    <t xml:space="preserve">Other travel per year (conferences, fieldwork) ($)</t>
  </si>
  <si>
    <t xml:space="preserve">Community &amp; Workshops (Participant Support)</t>
  </si>
  <si>
    <t xml:space="preserve">Workshops/tutorials planned per year (#)</t>
  </si>
  <si>
    <t xml:space="preserve">Participant support cost per workshop ($)</t>
  </si>
  <si>
    <t xml:space="preserve">Travel/stipends for external attendees only</t>
  </si>
  <si>
    <t xml:space="preserve">Other Direct Costs</t>
  </si>
  <si>
    <t xml:space="preserve">Materials &amp; supplies per year ($)</t>
  </si>
  <si>
    <t xml:space="preserve">Publication / open-access costs per year ($)</t>
  </si>
  <si>
    <t xml:space="preserve">Cloud compute costs, e.g. AWS credits per year ($)</t>
  </si>
  <si>
    <t xml:space="preserve">For CryoLauncher cloud-backend testing/demo</t>
  </si>
  <si>
    <t xml:space="preserve">RSE/student support per year ($, if any)</t>
  </si>
  <si>
    <t xml:space="preserve">Add if funding a CI professional or grad student</t>
  </si>
  <si>
    <t xml:space="preserve">Program Cap</t>
  </si>
  <si>
    <t xml:space="preserve">CSSI Elements total budget cap ($, fixed by solicitation)</t>
  </si>
  <si>
    <t xml:space="preserve">CSSI Elements — 3-Year Budget Summary</t>
  </si>
  <si>
    <t xml:space="preserve">All cells here are FORMULAS driven by the Assumptions tab — edit assumptions, not these cells.</t>
  </si>
  <si>
    <t xml:space="preserve">Category</t>
  </si>
  <si>
    <t xml:space="preserve">Year 1</t>
  </si>
  <si>
    <t xml:space="preserve">Year 2</t>
  </si>
  <si>
    <t xml:space="preserve">Year 3</t>
  </si>
  <si>
    <t xml:space="preserve">3-Year Total</t>
  </si>
  <si>
    <t xml:space="preserve">Senior Personnel</t>
  </si>
  <si>
    <t xml:space="preserve">PI (Kyanjo) salary</t>
  </si>
  <si>
    <t xml:space="preserve">Co-PI (Robel) summer salary</t>
  </si>
  <si>
    <t xml:space="preserve">Total Senior Personnel Salary</t>
  </si>
  <si>
    <t xml:space="preserve">Fringe Benefits</t>
  </si>
  <si>
    <t xml:space="preserve">Total Salaries &amp; Fringe</t>
  </si>
  <si>
    <t xml:space="preserve">PI meeting + other travel</t>
  </si>
  <si>
    <t xml:space="preserve">Participant Support Costs</t>
  </si>
  <si>
    <t xml:space="preserve">Workshops (excluded from indirect base)</t>
  </si>
  <si>
    <t xml:space="preserve">Materials, publication, compute, RSE/student</t>
  </si>
  <si>
    <t xml:space="preserve">Modified Total Direct Costs (MTDC, excl. participant support)</t>
  </si>
  <si>
    <t xml:space="preserve">Indirect Costs (F&amp;A)</t>
  </si>
  <si>
    <t xml:space="preserve">TOTAL BUDGET (direct + indirect + participant support)</t>
  </si>
  <si>
    <t xml:space="preserve">CSSI Elements cap ($600,000) — status</t>
  </si>
  <si>
    <t xml:space="preserve">Amount over/(under) 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</si>
</sst>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.0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CE4D6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6"/>
  </cols>
  <sheetData>
    <row r="1" customFormat="false" ht="17.25" hidden="false" customHeight="true" outlineLevel="0" collapsed="false">
      <c r="A1" s="2" t="s">
        <v>0</v>
      </c>
      <c r="B1" s="3"/>
      <c r="C1" s="3"/>
    </row>
    <row r="2" customFormat="false" ht="15" hidden="false" customHeight="true" outlineLevel="0" collapsed="false">
      <c r="A2" s="4" t="s">
        <v>1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true" outlineLevel="0" collapsed="false">
      <c r="A4" s="5" t="s">
        <v>2</v>
      </c>
      <c r="B4" s="3"/>
      <c r="C4" s="3"/>
    </row>
    <row r="5" customFormat="false" ht="15" hidden="false" customHeight="true" outlineLevel="0" collapsed="false">
      <c r="A5" s="6" t="s">
        <v>3</v>
      </c>
      <c r="B5" s="7" t="n">
        <v>85000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0.6</v>
      </c>
      <c r="C6" s="3"/>
    </row>
    <row r="7" customFormat="false" ht="15" hidden="false" customHeight="true" outlineLevel="0" collapsed="false">
      <c r="A7" s="6" t="s">
        <v>6</v>
      </c>
      <c r="B7" s="7" t="n">
        <v>130000</v>
      </c>
      <c r="C7" s="8" t="s">
        <v>4</v>
      </c>
    </row>
    <row r="8" customFormat="false" ht="15" hidden="false" customHeight="true" outlineLevel="0" collapsed="false">
      <c r="A8" s="6" t="s">
        <v>7</v>
      </c>
      <c r="B8" s="10" t="n">
        <v>1</v>
      </c>
      <c r="C8" s="3"/>
    </row>
    <row r="9" customFormat="false" ht="15" hidden="false" customHeight="true" outlineLevel="0" collapsed="false">
      <c r="A9" s="6" t="s">
        <v>8</v>
      </c>
      <c r="B9" s="9" t="n">
        <v>0.03</v>
      </c>
      <c r="C9" s="3"/>
    </row>
    <row r="10" customFormat="false" ht="15" hidden="false" customHeight="true" outlineLevel="0" collapsed="false">
      <c r="A10" s="6" t="s">
        <v>9</v>
      </c>
      <c r="B10" s="9" t="n">
        <v>0.3</v>
      </c>
      <c r="C10" s="8" t="s">
        <v>10</v>
      </c>
    </row>
    <row r="11" customFormat="false" ht="15" hidden="false" customHeight="false" outlineLevel="0" collapsed="false">
      <c r="A11" s="3"/>
      <c r="B11" s="3"/>
      <c r="C11" s="3"/>
    </row>
    <row r="12" customFormat="false" ht="15" hidden="false" customHeight="true" outlineLevel="0" collapsed="false">
      <c r="A12" s="5" t="s">
        <v>11</v>
      </c>
      <c r="B12" s="3"/>
      <c r="C12" s="3"/>
    </row>
    <row r="13" customFormat="false" ht="15" hidden="false" customHeight="true" outlineLevel="0" collapsed="false">
      <c r="A13" s="6" t="s">
        <v>12</v>
      </c>
      <c r="B13" s="9" t="n">
        <v>0.57</v>
      </c>
      <c r="C13" s="8" t="s">
        <v>13</v>
      </c>
    </row>
    <row r="14" customFormat="false" ht="15" hidden="false" customHeight="false" outlineLevel="0" collapsed="false">
      <c r="A14" s="3"/>
      <c r="B14" s="3"/>
      <c r="C14" s="3"/>
    </row>
    <row r="15" customFormat="false" ht="15" hidden="false" customHeight="true" outlineLevel="0" collapsed="false">
      <c r="A15" s="5" t="s">
        <v>14</v>
      </c>
      <c r="B15" s="3"/>
      <c r="C15" s="3"/>
    </row>
    <row r="16" customFormat="false" ht="15" hidden="false" customHeight="true" outlineLevel="0" collapsed="false">
      <c r="A16" s="6" t="s">
        <v>15</v>
      </c>
      <c r="B16" s="11" t="n">
        <v>1</v>
      </c>
      <c r="C16" s="3"/>
    </row>
    <row r="17" customFormat="false" ht="15" hidden="false" customHeight="true" outlineLevel="0" collapsed="false">
      <c r="A17" s="6" t="s">
        <v>16</v>
      </c>
      <c r="B17" s="7" t="n">
        <v>1800</v>
      </c>
      <c r="C17" s="3"/>
    </row>
    <row r="18" customFormat="false" ht="15" hidden="false" customHeight="true" outlineLevel="0" collapsed="false">
      <c r="A18" s="6" t="s">
        <v>17</v>
      </c>
      <c r="B18" s="7" t="n">
        <v>3000</v>
      </c>
      <c r="C18" s="3"/>
    </row>
    <row r="19" customFormat="false" ht="15" hidden="false" customHeight="false" outlineLevel="0" collapsed="false">
      <c r="A19" s="3"/>
      <c r="B19" s="3"/>
      <c r="C19" s="3"/>
    </row>
    <row r="20" customFormat="false" ht="15" hidden="false" customHeight="true" outlineLevel="0" collapsed="false">
      <c r="A20" s="5" t="s">
        <v>18</v>
      </c>
      <c r="B20" s="3"/>
      <c r="C20" s="3"/>
    </row>
    <row r="21" customFormat="false" ht="15" hidden="false" customHeight="true" outlineLevel="0" collapsed="false">
      <c r="A21" s="6" t="s">
        <v>19</v>
      </c>
      <c r="B21" s="11" t="n">
        <v>1</v>
      </c>
      <c r="C21" s="3"/>
    </row>
    <row r="22" customFormat="false" ht="15" hidden="false" customHeight="true" outlineLevel="0" collapsed="false">
      <c r="A22" s="6" t="s">
        <v>20</v>
      </c>
      <c r="B22" s="7" t="n">
        <v>6000</v>
      </c>
      <c r="C22" s="8" t="s">
        <v>21</v>
      </c>
    </row>
    <row r="23" customFormat="false" ht="15" hidden="false" customHeight="false" outlineLevel="0" collapsed="false">
      <c r="A23" s="3"/>
      <c r="B23" s="3"/>
      <c r="C23" s="3"/>
    </row>
    <row r="24" customFormat="false" ht="15" hidden="false" customHeight="true" outlineLevel="0" collapsed="false">
      <c r="A24" s="5" t="s">
        <v>22</v>
      </c>
      <c r="B24" s="3"/>
      <c r="C24" s="3"/>
    </row>
    <row r="25" customFormat="false" ht="15" hidden="false" customHeight="true" outlineLevel="0" collapsed="false">
      <c r="A25" s="6" t="s">
        <v>23</v>
      </c>
      <c r="B25" s="7" t="n">
        <v>1500</v>
      </c>
      <c r="C25" s="3"/>
    </row>
    <row r="26" customFormat="false" ht="15" hidden="false" customHeight="true" outlineLevel="0" collapsed="false">
      <c r="A26" s="6" t="s">
        <v>24</v>
      </c>
      <c r="B26" s="7" t="n">
        <v>1500</v>
      </c>
      <c r="C26" s="3"/>
    </row>
    <row r="27" customFormat="false" ht="15" hidden="false" customHeight="true" outlineLevel="0" collapsed="false">
      <c r="A27" s="6" t="s">
        <v>25</v>
      </c>
      <c r="B27" s="7" t="n">
        <v>4000</v>
      </c>
      <c r="C27" s="8" t="s">
        <v>26</v>
      </c>
    </row>
    <row r="28" customFormat="false" ht="15" hidden="false" customHeight="true" outlineLevel="0" collapsed="false">
      <c r="A28" s="6" t="s">
        <v>27</v>
      </c>
      <c r="B28" s="7" t="n">
        <v>0</v>
      </c>
      <c r="C28" s="8" t="s">
        <v>28</v>
      </c>
    </row>
    <row r="29" customFormat="false" ht="15" hidden="false" customHeight="false" outlineLevel="0" collapsed="false">
      <c r="A29" s="3"/>
      <c r="B29" s="3"/>
      <c r="C29" s="3"/>
    </row>
    <row r="30" customFormat="false" ht="15" hidden="false" customHeight="true" outlineLevel="0" collapsed="false">
      <c r="A30" s="5" t="s">
        <v>29</v>
      </c>
      <c r="B30" s="3"/>
      <c r="C30" s="3"/>
    </row>
    <row r="31" customFormat="false" ht="15" hidden="false" customHeight="true" outlineLevel="0" collapsed="false">
      <c r="A31" s="6" t="s">
        <v>30</v>
      </c>
      <c r="B31" s="12" t="n">
        <v>600000</v>
      </c>
      <c r="C3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31</v>
      </c>
      <c r="B1" s="3"/>
      <c r="C1" s="3"/>
      <c r="D1" s="3"/>
      <c r="E1" s="3"/>
    </row>
    <row r="2" customFormat="false" ht="15" hidden="false" customHeight="true" outlineLevel="0" collapsed="false">
      <c r="A2" s="13" t="s">
        <v>32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</row>
    <row r="5" customFormat="false" ht="15" hidden="false" customHeight="true" outlineLevel="0" collapsed="false">
      <c r="A5" s="14" t="s">
        <v>38</v>
      </c>
      <c r="B5" s="15"/>
      <c r="C5" s="15"/>
      <c r="D5" s="15"/>
      <c r="E5" s="15"/>
    </row>
    <row r="6" customFormat="false" ht="15" hidden="false" customHeight="true" outlineLevel="0" collapsed="false">
      <c r="A6" s="16" t="s">
        <v>39</v>
      </c>
      <c r="B6" s="17" t="n">
        <f aca="false">Assumptions!$B$5*Assumptions!$B$6</f>
        <v>51000</v>
      </c>
      <c r="C6" s="17" t="n">
        <f aca="false">Assumptions!$B$5*Assumptions!$B$6*(1+Assumptions!$B$9)</f>
        <v>52530</v>
      </c>
      <c r="D6" s="17" t="n">
        <f aca="false">Assumptions!$B$5*Assumptions!$B$6*(1+Assumptions!$B$9)^2</f>
        <v>54105.9</v>
      </c>
      <c r="E6" s="17" t="n">
        <f aca="false">SUM(B6:D6)</f>
        <v>157635.9</v>
      </c>
    </row>
    <row r="7" customFormat="false" ht="15" hidden="false" customHeight="true" outlineLevel="0" collapsed="false">
      <c r="A7" s="16" t="s">
        <v>40</v>
      </c>
      <c r="B7" s="17" t="n">
        <f aca="false">(Assumptions!$B$7/9)*Assumptions!$B$8</f>
        <v>14444.4444444444</v>
      </c>
      <c r="C7" s="17" t="n">
        <f aca="false">(Assumptions!$B$7/9)*Assumptions!$B$8*(1+Assumptions!$B$9)</f>
        <v>14877.7777777778</v>
      </c>
      <c r="D7" s="17" t="n">
        <f aca="false">(Assumptions!$B$7/9)*Assumptions!$B$8*(1+Assumptions!$B$9)^2</f>
        <v>15324.1111111111</v>
      </c>
      <c r="E7" s="17" t="n">
        <f aca="false">SUM(B7:D7)</f>
        <v>44646.3333333333</v>
      </c>
    </row>
    <row r="8" customFormat="false" ht="15" hidden="false" customHeight="true" outlineLevel="0" collapsed="false">
      <c r="A8" s="18" t="s">
        <v>41</v>
      </c>
      <c r="B8" s="19" t="n">
        <f aca="false">SUM(B6:B7)</f>
        <v>65444.4444444444</v>
      </c>
      <c r="C8" s="19" t="n">
        <f aca="false">SUM(C6:C7)</f>
        <v>67407.7777777778</v>
      </c>
      <c r="D8" s="19" t="n">
        <f aca="false">SUM(D6:D7)</f>
        <v>69430.0111111111</v>
      </c>
      <c r="E8" s="19" t="n">
        <f aca="false">SUM(E6:E7)</f>
        <v>202282.233333333</v>
      </c>
    </row>
    <row r="9" customFormat="false" ht="15" hidden="false" customHeight="true" outlineLevel="0" collapsed="false">
      <c r="A9" s="16" t="s">
        <v>42</v>
      </c>
      <c r="B9" s="17" t="n">
        <f aca="false">B8*Assumptions!$B$10</f>
        <v>19633.3333333333</v>
      </c>
      <c r="C9" s="17" t="n">
        <f aca="false">C8*Assumptions!$B$10</f>
        <v>20222.3333333333</v>
      </c>
      <c r="D9" s="17" t="n">
        <f aca="false">D8*Assumptions!$B$10</f>
        <v>20829.0033333333</v>
      </c>
      <c r="E9" s="17" t="n">
        <f aca="false">E8*Assumptions!$B$10</f>
        <v>60684.67</v>
      </c>
    </row>
    <row r="10" customFormat="false" ht="15" hidden="false" customHeight="true" outlineLevel="0" collapsed="false">
      <c r="A10" s="18" t="s">
        <v>43</v>
      </c>
      <c r="B10" s="19" t="n">
        <f aca="false">B8+B9</f>
        <v>85077.7777777778</v>
      </c>
      <c r="C10" s="19" t="n">
        <f aca="false">C8+C9</f>
        <v>87630.1111111111</v>
      </c>
      <c r="D10" s="19" t="n">
        <f aca="false">D8+D9</f>
        <v>90259.0144444444</v>
      </c>
      <c r="E10" s="19" t="n">
        <f aca="false">E8+E9</f>
        <v>262966.903333333</v>
      </c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true" outlineLevel="0" collapsed="false">
      <c r="A12" s="14" t="s">
        <v>14</v>
      </c>
      <c r="B12" s="15"/>
      <c r="C12" s="15"/>
      <c r="D12" s="15"/>
      <c r="E12" s="15"/>
    </row>
    <row r="13" customFormat="false" ht="15" hidden="false" customHeight="true" outlineLevel="0" collapsed="false">
      <c r="A13" s="16" t="s">
        <v>44</v>
      </c>
      <c r="B13" s="17" t="n">
        <f aca="false">Assumptions!$B$16*Assumptions!$B$17+Assumptions!$B$18</f>
        <v>4800</v>
      </c>
      <c r="C13" s="17" t="n">
        <f aca="false">Assumptions!$B$16*Assumptions!$B$17+Assumptions!$B$18</f>
        <v>4800</v>
      </c>
      <c r="D13" s="17" t="n">
        <f aca="false">Assumptions!$B$16*Assumptions!$B$17+Assumptions!$B$18</f>
        <v>4800</v>
      </c>
      <c r="E13" s="17" t="n">
        <f aca="false">SUM(B13:D13)</f>
        <v>14400</v>
      </c>
    </row>
    <row r="14" customFormat="false" ht="15" hidden="false" customHeight="false" outlineLevel="0" collapsed="false">
      <c r="A14" s="3"/>
      <c r="B14" s="3"/>
      <c r="C14" s="3"/>
      <c r="D14" s="3"/>
      <c r="E14" s="3"/>
    </row>
    <row r="15" customFormat="false" ht="15" hidden="false" customHeight="true" outlineLevel="0" collapsed="false">
      <c r="A15" s="14" t="s">
        <v>45</v>
      </c>
      <c r="B15" s="15"/>
      <c r="C15" s="15"/>
      <c r="D15" s="15"/>
      <c r="E15" s="15"/>
    </row>
    <row r="16" customFormat="false" ht="15" hidden="false" customHeight="true" outlineLevel="0" collapsed="false">
      <c r="A16" s="16" t="s">
        <v>46</v>
      </c>
      <c r="B16" s="17" t="n">
        <f aca="false">Assumptions!$B$21*Assumptions!$B$22</f>
        <v>6000</v>
      </c>
      <c r="C16" s="17" t="n">
        <f aca="false">Assumptions!$B$21*Assumptions!$B$22</f>
        <v>6000</v>
      </c>
      <c r="D16" s="17" t="n">
        <f aca="false">Assumptions!$B$21*Assumptions!$B$22</f>
        <v>6000</v>
      </c>
      <c r="E16" s="17" t="n">
        <f aca="false">SUM(B16:D16)</f>
        <v>18000</v>
      </c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15" hidden="false" customHeight="true" outlineLevel="0" collapsed="false">
      <c r="A18" s="14" t="s">
        <v>22</v>
      </c>
      <c r="B18" s="15"/>
      <c r="C18" s="15"/>
      <c r="D18" s="15"/>
      <c r="E18" s="15"/>
    </row>
    <row r="19" customFormat="false" ht="15" hidden="false" customHeight="true" outlineLevel="0" collapsed="false">
      <c r="A19" s="16" t="s">
        <v>47</v>
      </c>
      <c r="B19" s="17" t="n">
        <f aca="false">Assumptions!$B$25+Assumptions!$B$26+Assumptions!$B$27+Assumptions!$B$28</f>
        <v>7000</v>
      </c>
      <c r="C19" s="17" t="n">
        <f aca="false">Assumptions!$B$25+Assumptions!$B$26+Assumptions!$B$27+Assumptions!$B$28</f>
        <v>7000</v>
      </c>
      <c r="D19" s="17" t="n">
        <f aca="false">Assumptions!$B$25+Assumptions!$B$26+Assumptions!$B$27+Assumptions!$B$28</f>
        <v>7000</v>
      </c>
      <c r="E19" s="17" t="n">
        <f aca="false">SUM(B19:D19)</f>
        <v>21000</v>
      </c>
    </row>
    <row r="20" customFormat="false" ht="15" hidden="false" customHeight="false" outlineLevel="0" collapsed="false">
      <c r="A20" s="3"/>
      <c r="B20" s="3"/>
      <c r="C20" s="3"/>
      <c r="D20" s="3"/>
      <c r="E20" s="3"/>
    </row>
    <row r="21" customFormat="false" ht="15" hidden="false" customHeight="true" outlineLevel="0" collapsed="false">
      <c r="A21" s="18" t="s">
        <v>48</v>
      </c>
      <c r="B21" s="19" t="n">
        <f aca="false">B10+B13+B19</f>
        <v>96877.7777777778</v>
      </c>
      <c r="C21" s="19" t="n">
        <f aca="false">C10+C13+C19</f>
        <v>99430.1111111111</v>
      </c>
      <c r="D21" s="19" t="n">
        <f aca="false">D10+D13+D19</f>
        <v>102059.014444444</v>
      </c>
      <c r="E21" s="19" t="n">
        <f aca="false">E10+E13+E19</f>
        <v>298366.903333333</v>
      </c>
    </row>
    <row r="22" customFormat="false" ht="15" hidden="false" customHeight="true" outlineLevel="0" collapsed="false">
      <c r="A22" s="16" t="s">
        <v>49</v>
      </c>
      <c r="B22" s="17" t="n">
        <f aca="false">B21*Assumptions!$B$13</f>
        <v>55220.3333333333</v>
      </c>
      <c r="C22" s="17" t="n">
        <f aca="false">C21*Assumptions!$B$13</f>
        <v>56675.1633333333</v>
      </c>
      <c r="D22" s="17" t="n">
        <f aca="false">D21*Assumptions!$B$13</f>
        <v>58173.6382333333</v>
      </c>
      <c r="E22" s="17" t="n">
        <f aca="false">E21*Assumptions!$B$13</f>
        <v>170069.1349</v>
      </c>
    </row>
    <row r="23" customFormat="false" ht="15" hidden="false" customHeight="false" outlineLevel="0" collapsed="false">
      <c r="A23" s="3"/>
      <c r="B23" s="3"/>
      <c r="C23" s="3"/>
      <c r="D23" s="3"/>
      <c r="E23" s="3"/>
    </row>
    <row r="24" customFormat="false" ht="15" hidden="false" customHeight="true" outlineLevel="0" collapsed="false">
      <c r="A24" s="20" t="s">
        <v>50</v>
      </c>
      <c r="B24" s="21" t="n">
        <f aca="false">B21+B22+B16</f>
        <v>158098.111111111</v>
      </c>
      <c r="C24" s="21" t="n">
        <f aca="false">C21+C22+C16</f>
        <v>162105.274444444</v>
      </c>
      <c r="D24" s="21" t="n">
        <f aca="false">D21+D22+D16</f>
        <v>166232.652677778</v>
      </c>
      <c r="E24" s="21" t="n">
        <f aca="false">E21+E22+E16</f>
        <v>486436.038233333</v>
      </c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true" outlineLevel="0" collapsed="false">
      <c r="A26" s="5" t="s">
        <v>51</v>
      </c>
      <c r="B26" s="3"/>
      <c r="C26" s="3"/>
      <c r="D26" s="3"/>
      <c r="E26" s="22" t="str">
        <f aca="false">IF(E24&lt;=Assumptions!$B$31,"WITHIN CAP","OVER CAP — reduce scope")</f>
        <v>WITHIN CAP</v>
      </c>
    </row>
    <row r="27" customFormat="false" ht="15" hidden="false" customHeight="true" outlineLevel="0" collapsed="false">
      <c r="A27" s="23" t="s">
        <v>52</v>
      </c>
      <c r="B27" s="3"/>
      <c r="C27" s="3"/>
      <c r="D27" s="3"/>
      <c r="E27" s="24" t="n">
        <f aca="false">E24-Assumptions!$B$31</f>
        <v>-113563.961766667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2026-08-06T16:11:47Z</dcterms:created>
  <dc:creator>openpyxl</dc:creator>
  <dc:description/>
  <dc:language>en-US</dc:language>
  <cp:lastModifiedBy/>
  <dcterms:modified xsi:type="dcterms:W3CDTF">2026-08-06T16:13:02Z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